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F50A8840-ED90-456B-BBB5-1F4F70E95F9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renewal tracker" sheetId="1" r:id="rId1"/>
    <sheet name="maintenance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5" i="1"/>
</calcChain>
</file>

<file path=xl/sharedStrings.xml><?xml version="1.0" encoding="utf-8"?>
<sst xmlns="http://schemas.openxmlformats.org/spreadsheetml/2006/main" count="314" uniqueCount="209">
  <si>
    <t>VEHICLE RENWAL TRACKER 2026 (BASIC)</t>
  </si>
  <si>
    <t>SL.NO.</t>
  </si>
  <si>
    <t>Plate No.</t>
  </si>
  <si>
    <t>Engine No.</t>
  </si>
  <si>
    <t>Chasis No.</t>
  </si>
  <si>
    <t>Brand</t>
  </si>
  <si>
    <t>Model</t>
  </si>
  <si>
    <t>Type</t>
  </si>
  <si>
    <t>Year</t>
  </si>
  <si>
    <t>Color</t>
  </si>
  <si>
    <t>User</t>
  </si>
  <si>
    <t>Reg.Date</t>
  </si>
  <si>
    <t>Insur.Date</t>
  </si>
  <si>
    <t>Days Left</t>
  </si>
  <si>
    <t>KL-13-AB-1023</t>
  </si>
  <si>
    <t>ENG457812</t>
  </si>
  <si>
    <t>CHS99871234</t>
  </si>
  <si>
    <t>Toyota</t>
  </si>
  <si>
    <t>Innova</t>
  </si>
  <si>
    <t>MPV</t>
  </si>
  <si>
    <t>White</t>
  </si>
  <si>
    <t>Anil Kumar</t>
  </si>
  <si>
    <t>KL-13-CD-4587</t>
  </si>
  <si>
    <t>ENG874521</t>
  </si>
  <si>
    <t>CHS22334455</t>
  </si>
  <si>
    <t>Hyundai</t>
  </si>
  <si>
    <t>Creta</t>
  </si>
  <si>
    <t>SUV</t>
  </si>
  <si>
    <t>Black</t>
  </si>
  <si>
    <t>Vivek Thomas</t>
  </si>
  <si>
    <t>KL-58-EF-3321</t>
  </si>
  <si>
    <t>ENG998877</t>
  </si>
  <si>
    <t>CHS55667788</t>
  </si>
  <si>
    <t>Maruti Suzuki</t>
  </si>
  <si>
    <t>Swift</t>
  </si>
  <si>
    <t>Hatchback</t>
  </si>
  <si>
    <t>Red</t>
  </si>
  <si>
    <t>Rahul Nair</t>
  </si>
  <si>
    <t>KL-11-GH-7745</t>
  </si>
  <si>
    <t>ENG665544</t>
  </si>
  <si>
    <t>CHS11223344</t>
  </si>
  <si>
    <t>Honda</t>
  </si>
  <si>
    <t>City</t>
  </si>
  <si>
    <t>Sedan</t>
  </si>
  <si>
    <t>Silver</t>
  </si>
  <si>
    <t>Arun Joseph</t>
  </si>
  <si>
    <t>KL-14-IJ-9981</t>
  </si>
  <si>
    <t>ENG223311</t>
  </si>
  <si>
    <t>CHS77889900</t>
  </si>
  <si>
    <t>Tata</t>
  </si>
  <si>
    <t>Nexon</t>
  </si>
  <si>
    <t>Blue</t>
  </si>
  <si>
    <t>Sreejith P</t>
  </si>
  <si>
    <t>KL-13-KL-2209</t>
  </si>
  <si>
    <t>ENG445566</t>
  </si>
  <si>
    <t>CHS33445566</t>
  </si>
  <si>
    <t>Mahindra</t>
  </si>
  <si>
    <t>Bolero Pickup</t>
  </si>
  <si>
    <t>Pickup</t>
  </si>
  <si>
    <t>Nikhil Das</t>
  </si>
  <si>
    <t>KL-60-MN-6712</t>
  </si>
  <si>
    <t>ENG112358</t>
  </si>
  <si>
    <t>CHS98765432</t>
  </si>
  <si>
    <t>Isuzu</t>
  </si>
  <si>
    <t>D-Max</t>
  </si>
  <si>
    <t>Grey</t>
  </si>
  <si>
    <t>Ajith Varma</t>
  </si>
  <si>
    <t>KL-10-OP-8890</t>
  </si>
  <si>
    <t>ENG778899</t>
  </si>
  <si>
    <t>CHS55664433</t>
  </si>
  <si>
    <t>Ashok Leyland</t>
  </si>
  <si>
    <t>Dost</t>
  </si>
  <si>
    <t>Light Truck</t>
  </si>
  <si>
    <t>Manoj K</t>
  </si>
  <si>
    <t>KL-13-QR-4561</t>
  </si>
  <si>
    <t>ENG667788</t>
  </si>
  <si>
    <t>CHS22335577</t>
  </si>
  <si>
    <t>Eicher</t>
  </si>
  <si>
    <t>Pro 2049</t>
  </si>
  <si>
    <t>Truck</t>
  </si>
  <si>
    <t>Rakesh Menon</t>
  </si>
  <si>
    <t>KL-59-ST-1204</t>
  </si>
  <si>
    <t>ENG990011</t>
  </si>
  <si>
    <t>CHS88990011</t>
  </si>
  <si>
    <t>Starbus</t>
  </si>
  <si>
    <t>Bus</t>
  </si>
  <si>
    <t>Yellow</t>
  </si>
  <si>
    <t>Deepak N</t>
  </si>
  <si>
    <t>KL-07-UV-3310</t>
  </si>
  <si>
    <t>ENG443322</t>
  </si>
  <si>
    <t>CHS66778899</t>
  </si>
  <si>
    <t>Volvo</t>
  </si>
  <si>
    <t>Jithin Paul</t>
  </si>
  <si>
    <t>KL-13-WX-8822</t>
  </si>
  <si>
    <t>ENG556677</t>
  </si>
  <si>
    <t>CHS33442211</t>
  </si>
  <si>
    <t>BharatBenz</t>
  </si>
  <si>
    <t>Heavy Truck</t>
  </si>
  <si>
    <t>Orange</t>
  </si>
  <si>
    <t>Binu George</t>
  </si>
  <si>
    <t>KL-18-YZ-7744</t>
  </si>
  <si>
    <t>ENG998822</t>
  </si>
  <si>
    <t>CHS77665544</t>
  </si>
  <si>
    <t>Schmitz Cargobull</t>
  </si>
  <si>
    <t>S.KO</t>
  </si>
  <si>
    <t>Trailer</t>
  </si>
  <si>
    <t>Sandeep R</t>
  </si>
  <si>
    <t>KL-13-AA-5643</t>
  </si>
  <si>
    <t>ENG221199</t>
  </si>
  <si>
    <t>CHS44556677</t>
  </si>
  <si>
    <t>Fortuner</t>
  </si>
  <si>
    <t>Shyam Lal</t>
  </si>
  <si>
    <t>KL-65-BB-9087</t>
  </si>
  <si>
    <t>ENG334455</t>
  </si>
  <si>
    <t>CHS99881122</t>
  </si>
  <si>
    <t>Venue</t>
  </si>
  <si>
    <t>Akash S</t>
  </si>
  <si>
    <t>KL-FL-0012</t>
  </si>
  <si>
    <t>ENGFL1234</t>
  </si>
  <si>
    <t>CHSFL5678</t>
  </si>
  <si>
    <t>8FG30</t>
  </si>
  <si>
    <t>Forklift</t>
  </si>
  <si>
    <t>Warehouse Team</t>
  </si>
  <si>
    <t>KL-FL-0023</t>
  </si>
  <si>
    <t>ENGFL2234</t>
  </si>
  <si>
    <t>CHSFL6678</t>
  </si>
  <si>
    <t>KION (Linde)</t>
  </si>
  <si>
    <t>H30D</t>
  </si>
  <si>
    <t>Logistics Dept</t>
  </si>
  <si>
    <t>KL-TR-9087</t>
  </si>
  <si>
    <t>ENGTR4455</t>
  </si>
  <si>
    <t>CHSTR8899</t>
  </si>
  <si>
    <t>Prima 5530.S</t>
  </si>
  <si>
    <t>Trailer Head</t>
  </si>
  <si>
    <t>Transport Team</t>
  </si>
  <si>
    <t>VEHICLE MAINTENANCE LOG - BASIC</t>
  </si>
  <si>
    <t>SL NO</t>
  </si>
  <si>
    <t>Date</t>
  </si>
  <si>
    <t>Veh. Type</t>
  </si>
  <si>
    <t>Maint. Type</t>
  </si>
  <si>
    <t>Description</t>
  </si>
  <si>
    <t>Vendor</t>
  </si>
  <si>
    <t>Cost</t>
  </si>
  <si>
    <t>Vat%</t>
  </si>
  <si>
    <t>Net Cost</t>
  </si>
  <si>
    <t>Remarks</t>
  </si>
  <si>
    <t>Car (MPV)</t>
  </si>
  <si>
    <t>Preventive Maintenance</t>
  </si>
  <si>
    <t>Periodic Service (10,000 km)</t>
  </si>
  <si>
    <t>Toyota Service Center</t>
  </si>
  <si>
    <t>Completed on time</t>
  </si>
  <si>
    <t>Car (SUV)</t>
  </si>
  <si>
    <t>Corrective Repair</t>
  </si>
  <si>
    <t>Brake Pad Replacement</t>
  </si>
  <si>
    <t>Hyundai Authorized</t>
  </si>
  <si>
    <t>Wear &amp; tear</t>
  </si>
  <si>
    <t>Car (Hatchback)</t>
  </si>
  <si>
    <t>Oil Change &amp; Filter</t>
  </si>
  <si>
    <t>Maruti Workshop</t>
  </si>
  <si>
    <t>Routine service</t>
  </si>
  <si>
    <t>Car (Sedan)</t>
  </si>
  <si>
    <t>AMC</t>
  </si>
  <si>
    <t>AMC - Annual Service Contract</t>
  </si>
  <si>
    <t>Honda Care</t>
  </si>
  <si>
    <t>Valid till Dec 2026</t>
  </si>
  <si>
    <t>Tyre Replacement (All 4)</t>
  </si>
  <si>
    <t>MRF Dealer</t>
  </si>
  <si>
    <t>High usage</t>
  </si>
  <si>
    <t>Clutch Repair</t>
  </si>
  <si>
    <t>Mahindra Workshop</t>
  </si>
  <si>
    <t>Heavy load usage</t>
  </si>
  <si>
    <t>Suspension Repair</t>
  </si>
  <si>
    <t>Isuzu Service</t>
  </si>
  <si>
    <t>Rough terrain usage</t>
  </si>
  <si>
    <t>Engine Service</t>
  </si>
  <si>
    <t>Leyland Service Hub</t>
  </si>
  <si>
    <t>Major service</t>
  </si>
  <si>
    <t>Gearbox Maintenance</t>
  </si>
  <si>
    <t>Eicher Workshop</t>
  </si>
  <si>
    <t>Preventive maintenance</t>
  </si>
  <si>
    <t>AC Repair &amp; Gas Refill</t>
  </si>
  <si>
    <t>CoolTech Services</t>
  </si>
  <si>
    <t>Summer prep</t>
  </si>
  <si>
    <t>AMC - Full Maintenance</t>
  </si>
  <si>
    <t>Volvo Service</t>
  </si>
  <si>
    <t>Premium contract</t>
  </si>
  <si>
    <t>Brake System Overhaul</t>
  </si>
  <si>
    <t>Benz Service</t>
  </si>
  <si>
    <t>Safety compliance</t>
  </si>
  <si>
    <t>Schmitz</t>
  </si>
  <si>
    <t>Trailer Axle Service</t>
  </si>
  <si>
    <t>TrailerCare</t>
  </si>
  <si>
    <t>Annual service</t>
  </si>
  <si>
    <t>Battery Replacement</t>
  </si>
  <si>
    <t>Exide Dealer</t>
  </si>
  <si>
    <t>Battery expired</t>
  </si>
  <si>
    <t>Wheel Alignment &amp; Balancing</t>
  </si>
  <si>
    <t>Local Garage</t>
  </si>
  <si>
    <t>Routine</t>
  </si>
  <si>
    <t>Hydraulic Oil Change</t>
  </si>
  <si>
    <t>Industrial Services</t>
  </si>
  <si>
    <t>Equipment maintenance</t>
  </si>
  <si>
    <t>Linde</t>
  </si>
  <si>
    <t>AMC - Forklift Maintenance</t>
  </si>
  <si>
    <t>Linde Service</t>
  </si>
  <si>
    <t>Annual contract</t>
  </si>
  <si>
    <t>Engine Tuning</t>
  </si>
  <si>
    <t>Tata Motors</t>
  </si>
  <si>
    <t>Performance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</si>
</sst>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 [$₹-4009]\ * #,##0.00_ ;_ [$₹-4009]\ * \-#,##0.00_ ;_ [$₹-4009]\ * &quot;-&quot;??_ ;_ @_ 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894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089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22"/>
  <sheetViews>
    <sheetView showGridLines="0" showRowColHeaders="0" topLeftCell="B1" workbookViewId="0">
      <selection activeCell="C1" sqref="C1:O3"/>
    </sheetView>
  </sheetViews>
  <sheetFormatPr defaultRowHeight="15"/>
  <cols>
    <col min="4" max="4" width="17.140625" customWidth="1"/>
    <col min="5" max="5" width="16.140625" customWidth="1"/>
    <col min="6" max="6" width="13" bestFit="1" customWidth="1"/>
    <col min="7" max="7" width="16.42578125" bestFit="1" customWidth="1"/>
    <col min="8" max="8" width="12.85546875" bestFit="1" customWidth="1"/>
    <col min="9" max="9" width="12.85546875" customWidth="1"/>
    <col min="10" max="10" width="11.5703125" bestFit="1" customWidth="1"/>
    <col min="12" max="13" width="16.28515625" bestFit="1" customWidth="1"/>
    <col min="14" max="14" width="13.7109375" bestFit="1" customWidth="1"/>
    <col min="15" max="15" width="11.140625" bestFit="1" customWidth="1"/>
  </cols>
  <sheetData>
    <row r="1" spans="3:15">
      <c r="C1" s="31" t="s">
        <v>0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</row>
    <row r="2" spans="3:15">
      <c r="C2" s="3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</row>
    <row r="3" spans="3:15"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3:15">
      <c r="C4" s="5" t="s">
        <v>1</v>
      </c>
      <c r="D4" s="17" t="s">
        <v>2</v>
      </c>
      <c r="E4" s="6" t="s">
        <v>3</v>
      </c>
      <c r="F4" s="6" t="s">
        <v>4</v>
      </c>
      <c r="G4" s="6" t="s">
        <v>5</v>
      </c>
      <c r="H4" s="17" t="s">
        <v>6</v>
      </c>
      <c r="I4" s="17" t="s">
        <v>7</v>
      </c>
      <c r="J4" s="17" t="s">
        <v>8</v>
      </c>
      <c r="K4" s="6" t="s">
        <v>9</v>
      </c>
      <c r="L4" s="6" t="s">
        <v>10</v>
      </c>
      <c r="M4" s="7" t="s">
        <v>11</v>
      </c>
      <c r="N4" s="7" t="s">
        <v>12</v>
      </c>
      <c r="O4" s="26" t="s">
        <v>13</v>
      </c>
    </row>
    <row r="5" spans="3:15">
      <c r="C5" s="13">
        <v>1</v>
      </c>
      <c r="D5" s="10" t="s">
        <v>14</v>
      </c>
      <c r="E5" s="15" t="s">
        <v>15</v>
      </c>
      <c r="F5" s="8" t="s">
        <v>16</v>
      </c>
      <c r="G5" s="30" t="s">
        <v>17</v>
      </c>
      <c r="H5" s="30" t="s">
        <v>18</v>
      </c>
      <c r="I5" s="30" t="s">
        <v>19</v>
      </c>
      <c r="J5" s="30">
        <v>2020</v>
      </c>
      <c r="K5" s="15" t="s">
        <v>20</v>
      </c>
      <c r="L5" s="27" t="s">
        <v>21</v>
      </c>
      <c r="M5" s="9">
        <v>46147</v>
      </c>
      <c r="N5" s="23">
        <v>46146</v>
      </c>
      <c r="O5" s="20">
        <f ca="1">MAX(M5-TODAY())</f>
        <v>6</v>
      </c>
    </row>
    <row r="6" spans="3:15">
      <c r="C6" s="14">
        <v>2</v>
      </c>
      <c r="D6" s="11" t="s">
        <v>22</v>
      </c>
      <c r="E6" s="16" t="s">
        <v>23</v>
      </c>
      <c r="F6" s="1" t="s">
        <v>24</v>
      </c>
      <c r="G6" s="30" t="s">
        <v>25</v>
      </c>
      <c r="H6" s="30" t="s">
        <v>26</v>
      </c>
      <c r="I6" s="30" t="s">
        <v>27</v>
      </c>
      <c r="J6" s="30">
        <v>2021</v>
      </c>
      <c r="K6" s="16" t="s">
        <v>28</v>
      </c>
      <c r="L6" s="28" t="s">
        <v>29</v>
      </c>
      <c r="M6" s="2">
        <v>46154</v>
      </c>
      <c r="N6" s="24">
        <v>46153</v>
      </c>
      <c r="O6" s="21">
        <f t="shared" ref="O6:O22" ca="1" si="0">MAX(M6-TODAY())</f>
        <v>13</v>
      </c>
    </row>
    <row r="7" spans="3:15">
      <c r="C7" s="14">
        <v>3</v>
      </c>
      <c r="D7" s="11" t="s">
        <v>30</v>
      </c>
      <c r="E7" s="16" t="s">
        <v>31</v>
      </c>
      <c r="F7" s="1" t="s">
        <v>32</v>
      </c>
      <c r="G7" s="30" t="s">
        <v>33</v>
      </c>
      <c r="H7" s="30" t="s">
        <v>34</v>
      </c>
      <c r="I7" s="30" t="s">
        <v>35</v>
      </c>
      <c r="J7" s="30">
        <v>2019</v>
      </c>
      <c r="K7" s="16" t="s">
        <v>36</v>
      </c>
      <c r="L7" s="28" t="s">
        <v>37</v>
      </c>
      <c r="M7" s="2">
        <v>46167</v>
      </c>
      <c r="N7" s="24">
        <v>46166</v>
      </c>
      <c r="O7" s="21">
        <f t="shared" ca="1" si="0"/>
        <v>26</v>
      </c>
    </row>
    <row r="8" spans="3:15">
      <c r="C8" s="14">
        <v>4</v>
      </c>
      <c r="D8" s="11" t="s">
        <v>38</v>
      </c>
      <c r="E8" s="16" t="s">
        <v>39</v>
      </c>
      <c r="F8" s="1" t="s">
        <v>40</v>
      </c>
      <c r="G8" s="30" t="s">
        <v>41</v>
      </c>
      <c r="H8" s="30" t="s">
        <v>42</v>
      </c>
      <c r="I8" s="30" t="s">
        <v>43</v>
      </c>
      <c r="J8" s="30">
        <v>2022</v>
      </c>
      <c r="K8" s="16" t="s">
        <v>44</v>
      </c>
      <c r="L8" s="28" t="s">
        <v>45</v>
      </c>
      <c r="M8" s="2">
        <v>46175</v>
      </c>
      <c r="N8" s="24">
        <v>46174</v>
      </c>
      <c r="O8" s="21">
        <f t="shared" ca="1" si="0"/>
        <v>34</v>
      </c>
    </row>
    <row r="9" spans="3:15">
      <c r="C9" s="14">
        <v>5</v>
      </c>
      <c r="D9" s="11" t="s">
        <v>46</v>
      </c>
      <c r="E9" s="16" t="s">
        <v>47</v>
      </c>
      <c r="F9" s="1" t="s">
        <v>48</v>
      </c>
      <c r="G9" s="30" t="s">
        <v>49</v>
      </c>
      <c r="H9" s="30" t="s">
        <v>50</v>
      </c>
      <c r="I9" s="30" t="s">
        <v>27</v>
      </c>
      <c r="J9" s="30">
        <v>2023</v>
      </c>
      <c r="K9" s="16" t="s">
        <v>51</v>
      </c>
      <c r="L9" s="28" t="s">
        <v>52</v>
      </c>
      <c r="M9" s="2">
        <v>46187</v>
      </c>
      <c r="N9" s="24">
        <v>46186</v>
      </c>
      <c r="O9" s="21">
        <f t="shared" ca="1" si="0"/>
        <v>46</v>
      </c>
    </row>
    <row r="10" spans="3:15">
      <c r="C10" s="14">
        <v>6</v>
      </c>
      <c r="D10" s="11" t="s">
        <v>53</v>
      </c>
      <c r="E10" s="16" t="s">
        <v>54</v>
      </c>
      <c r="F10" s="1" t="s">
        <v>55</v>
      </c>
      <c r="G10" s="30" t="s">
        <v>56</v>
      </c>
      <c r="H10" s="30" t="s">
        <v>57</v>
      </c>
      <c r="I10" s="30" t="s">
        <v>58</v>
      </c>
      <c r="J10" s="30">
        <v>2020</v>
      </c>
      <c r="K10" s="16" t="s">
        <v>20</v>
      </c>
      <c r="L10" s="28" t="s">
        <v>59</v>
      </c>
      <c r="M10" s="2">
        <v>46201</v>
      </c>
      <c r="N10" s="24">
        <v>46200</v>
      </c>
      <c r="O10" s="21">
        <f t="shared" ca="1" si="0"/>
        <v>60</v>
      </c>
    </row>
    <row r="11" spans="3:15">
      <c r="C11" s="14">
        <v>7</v>
      </c>
      <c r="D11" s="11" t="s">
        <v>60</v>
      </c>
      <c r="E11" s="16" t="s">
        <v>61</v>
      </c>
      <c r="F11" s="1" t="s">
        <v>62</v>
      </c>
      <c r="G11" s="30" t="s">
        <v>63</v>
      </c>
      <c r="H11" s="30" t="s">
        <v>64</v>
      </c>
      <c r="I11" s="30" t="s">
        <v>58</v>
      </c>
      <c r="J11" s="30">
        <v>2021</v>
      </c>
      <c r="K11" s="16" t="s">
        <v>65</v>
      </c>
      <c r="L11" s="28" t="s">
        <v>66</v>
      </c>
      <c r="M11" s="2">
        <v>46213</v>
      </c>
      <c r="N11" s="24">
        <v>46212</v>
      </c>
      <c r="O11" s="21">
        <f t="shared" ca="1" si="0"/>
        <v>72</v>
      </c>
    </row>
    <row r="12" spans="3:15">
      <c r="C12" s="14">
        <v>8</v>
      </c>
      <c r="D12" s="11" t="s">
        <v>67</v>
      </c>
      <c r="E12" s="16" t="s">
        <v>68</v>
      </c>
      <c r="F12" s="1" t="s">
        <v>69</v>
      </c>
      <c r="G12" s="30" t="s">
        <v>70</v>
      </c>
      <c r="H12" s="30" t="s">
        <v>71</v>
      </c>
      <c r="I12" s="30" t="s">
        <v>72</v>
      </c>
      <c r="J12" s="30">
        <v>2018</v>
      </c>
      <c r="K12" s="16" t="s">
        <v>51</v>
      </c>
      <c r="L12" s="28" t="s">
        <v>73</v>
      </c>
      <c r="M12" s="2">
        <v>46225</v>
      </c>
      <c r="N12" s="24">
        <v>46224</v>
      </c>
      <c r="O12" s="21">
        <f t="shared" ca="1" si="0"/>
        <v>84</v>
      </c>
    </row>
    <row r="13" spans="3:15">
      <c r="C13" s="14">
        <v>9</v>
      </c>
      <c r="D13" s="11" t="s">
        <v>74</v>
      </c>
      <c r="E13" s="16" t="s">
        <v>75</v>
      </c>
      <c r="F13" s="1" t="s">
        <v>76</v>
      </c>
      <c r="G13" s="30" t="s">
        <v>77</v>
      </c>
      <c r="H13" s="30" t="s">
        <v>78</v>
      </c>
      <c r="I13" s="30" t="s">
        <v>79</v>
      </c>
      <c r="J13" s="30">
        <v>2019</v>
      </c>
      <c r="K13" s="16" t="s">
        <v>20</v>
      </c>
      <c r="L13" s="28" t="s">
        <v>80</v>
      </c>
      <c r="M13" s="2">
        <v>46239</v>
      </c>
      <c r="N13" s="24">
        <v>46238</v>
      </c>
      <c r="O13" s="21">
        <f t="shared" ca="1" si="0"/>
        <v>98</v>
      </c>
    </row>
    <row r="14" spans="3:15">
      <c r="C14" s="14">
        <v>10</v>
      </c>
      <c r="D14" s="11" t="s">
        <v>81</v>
      </c>
      <c r="E14" s="16" t="s">
        <v>82</v>
      </c>
      <c r="F14" s="1" t="s">
        <v>83</v>
      </c>
      <c r="G14" s="30" t="s">
        <v>49</v>
      </c>
      <c r="H14" s="30" t="s">
        <v>84</v>
      </c>
      <c r="I14" s="30" t="s">
        <v>85</v>
      </c>
      <c r="J14" s="30">
        <v>2022</v>
      </c>
      <c r="K14" s="16" t="s">
        <v>86</v>
      </c>
      <c r="L14" s="28" t="s">
        <v>87</v>
      </c>
      <c r="M14" s="2">
        <v>46252</v>
      </c>
      <c r="N14" s="24">
        <v>46251</v>
      </c>
      <c r="O14" s="21">
        <f t="shared" ca="1" si="0"/>
        <v>111</v>
      </c>
    </row>
    <row r="15" spans="3:15">
      <c r="C15" s="14">
        <v>11</v>
      </c>
      <c r="D15" s="11" t="s">
        <v>88</v>
      </c>
      <c r="E15" s="16" t="s">
        <v>89</v>
      </c>
      <c r="F15" s="1" t="s">
        <v>90</v>
      </c>
      <c r="G15" s="30" t="s">
        <v>91</v>
      </c>
      <c r="H15" s="30">
        <v>9400</v>
      </c>
      <c r="I15" s="30" t="s">
        <v>85</v>
      </c>
      <c r="J15" s="30">
        <v>2023</v>
      </c>
      <c r="K15" s="16" t="s">
        <v>20</v>
      </c>
      <c r="L15" s="28" t="s">
        <v>92</v>
      </c>
      <c r="M15" s="2">
        <v>46267</v>
      </c>
      <c r="N15" s="24">
        <v>46266</v>
      </c>
      <c r="O15" s="21">
        <f t="shared" ca="1" si="0"/>
        <v>126</v>
      </c>
    </row>
    <row r="16" spans="3:15">
      <c r="C16" s="14">
        <v>12</v>
      </c>
      <c r="D16" s="11" t="s">
        <v>93</v>
      </c>
      <c r="E16" s="16" t="s">
        <v>94</v>
      </c>
      <c r="F16" s="1" t="s">
        <v>95</v>
      </c>
      <c r="G16" s="30" t="s">
        <v>96</v>
      </c>
      <c r="H16" s="30">
        <v>3523</v>
      </c>
      <c r="I16" s="30" t="s">
        <v>97</v>
      </c>
      <c r="J16" s="30">
        <v>2020</v>
      </c>
      <c r="K16" s="16" t="s">
        <v>98</v>
      </c>
      <c r="L16" s="28" t="s">
        <v>99</v>
      </c>
      <c r="M16" s="2">
        <v>46281</v>
      </c>
      <c r="N16" s="24">
        <v>46280</v>
      </c>
      <c r="O16" s="21">
        <f t="shared" ca="1" si="0"/>
        <v>140</v>
      </c>
    </row>
    <row r="17" spans="3:15">
      <c r="C17" s="14">
        <v>13</v>
      </c>
      <c r="D17" s="11" t="s">
        <v>100</v>
      </c>
      <c r="E17" s="16" t="s">
        <v>101</v>
      </c>
      <c r="F17" s="1" t="s">
        <v>102</v>
      </c>
      <c r="G17" s="30" t="s">
        <v>103</v>
      </c>
      <c r="H17" s="30" t="s">
        <v>104</v>
      </c>
      <c r="I17" s="30" t="s">
        <v>105</v>
      </c>
      <c r="J17" s="30">
        <v>2021</v>
      </c>
      <c r="K17" s="16" t="s">
        <v>65</v>
      </c>
      <c r="L17" s="28" t="s">
        <v>106</v>
      </c>
      <c r="M17" s="2">
        <v>46296</v>
      </c>
      <c r="N17" s="24">
        <v>46295</v>
      </c>
      <c r="O17" s="21">
        <f t="shared" ca="1" si="0"/>
        <v>155</v>
      </c>
    </row>
    <row r="18" spans="3:15">
      <c r="C18" s="14">
        <v>14</v>
      </c>
      <c r="D18" s="11" t="s">
        <v>107</v>
      </c>
      <c r="E18" s="16" t="s">
        <v>108</v>
      </c>
      <c r="F18" s="1" t="s">
        <v>109</v>
      </c>
      <c r="G18" s="30" t="s">
        <v>17</v>
      </c>
      <c r="H18" s="30" t="s">
        <v>110</v>
      </c>
      <c r="I18" s="30" t="s">
        <v>27</v>
      </c>
      <c r="J18" s="30">
        <v>2022</v>
      </c>
      <c r="K18" s="16" t="s">
        <v>28</v>
      </c>
      <c r="L18" s="28" t="s">
        <v>111</v>
      </c>
      <c r="M18" s="2">
        <v>46310</v>
      </c>
      <c r="N18" s="24">
        <v>46309</v>
      </c>
      <c r="O18" s="21">
        <f t="shared" ca="1" si="0"/>
        <v>169</v>
      </c>
    </row>
    <row r="19" spans="3:15">
      <c r="C19" s="14">
        <v>15</v>
      </c>
      <c r="D19" s="11" t="s">
        <v>112</v>
      </c>
      <c r="E19" s="16" t="s">
        <v>113</v>
      </c>
      <c r="F19" s="1" t="s">
        <v>114</v>
      </c>
      <c r="G19" s="30" t="s">
        <v>25</v>
      </c>
      <c r="H19" s="30" t="s">
        <v>115</v>
      </c>
      <c r="I19" s="30" t="s">
        <v>27</v>
      </c>
      <c r="J19" s="30">
        <v>2023</v>
      </c>
      <c r="K19" s="16" t="s">
        <v>65</v>
      </c>
      <c r="L19" s="28" t="s">
        <v>116</v>
      </c>
      <c r="M19" s="2">
        <v>46323</v>
      </c>
      <c r="N19" s="24">
        <v>46322</v>
      </c>
      <c r="O19" s="21">
        <f t="shared" ca="1" si="0"/>
        <v>182</v>
      </c>
    </row>
    <row r="20" spans="3:15">
      <c r="C20" s="14">
        <v>16</v>
      </c>
      <c r="D20" s="11" t="s">
        <v>117</v>
      </c>
      <c r="E20" s="16" t="s">
        <v>118</v>
      </c>
      <c r="F20" s="1" t="s">
        <v>119</v>
      </c>
      <c r="G20" s="30" t="s">
        <v>17</v>
      </c>
      <c r="H20" s="30" t="s">
        <v>120</v>
      </c>
      <c r="I20" s="30" t="s">
        <v>121</v>
      </c>
      <c r="J20" s="30">
        <v>2020</v>
      </c>
      <c r="K20" s="16" t="s">
        <v>98</v>
      </c>
      <c r="L20" s="28" t="s">
        <v>122</v>
      </c>
      <c r="M20" s="2">
        <v>46336</v>
      </c>
      <c r="N20" s="24">
        <v>46335</v>
      </c>
      <c r="O20" s="21">
        <f t="shared" ca="1" si="0"/>
        <v>195</v>
      </c>
    </row>
    <row r="21" spans="3:15">
      <c r="C21" s="14">
        <v>17</v>
      </c>
      <c r="D21" s="11" t="s">
        <v>123</v>
      </c>
      <c r="E21" s="16" t="s">
        <v>124</v>
      </c>
      <c r="F21" s="1" t="s">
        <v>125</v>
      </c>
      <c r="G21" s="30" t="s">
        <v>126</v>
      </c>
      <c r="H21" s="30" t="s">
        <v>127</v>
      </c>
      <c r="I21" s="30" t="s">
        <v>121</v>
      </c>
      <c r="J21" s="30">
        <v>2022</v>
      </c>
      <c r="K21" s="16" t="s">
        <v>36</v>
      </c>
      <c r="L21" s="28" t="s">
        <v>128</v>
      </c>
      <c r="M21" s="2">
        <v>46348</v>
      </c>
      <c r="N21" s="24">
        <v>46347</v>
      </c>
      <c r="O21" s="21">
        <f t="shared" ca="1" si="0"/>
        <v>207</v>
      </c>
    </row>
    <row r="22" spans="3:15">
      <c r="C22" s="18">
        <v>18</v>
      </c>
      <c r="D22" s="12" t="s">
        <v>129</v>
      </c>
      <c r="E22" s="19" t="s">
        <v>130</v>
      </c>
      <c r="F22" s="3" t="s">
        <v>131</v>
      </c>
      <c r="G22" s="30" t="s">
        <v>49</v>
      </c>
      <c r="H22" s="30" t="s">
        <v>132</v>
      </c>
      <c r="I22" s="30" t="s">
        <v>133</v>
      </c>
      <c r="J22" s="30">
        <v>2021</v>
      </c>
      <c r="K22" s="19" t="s">
        <v>20</v>
      </c>
      <c r="L22" s="29" t="s">
        <v>134</v>
      </c>
      <c r="M22" s="4">
        <v>46361</v>
      </c>
      <c r="N22" s="25">
        <v>46360</v>
      </c>
      <c r="O22" s="22">
        <f t="shared" ca="1" si="0"/>
        <v>220</v>
      </c>
    </row>
  </sheetData>
  <sortState xmlns:xlrd2="http://schemas.microsoft.com/office/spreadsheetml/2017/richdata2" ref="M5:N22">
    <sortCondition ref="M5:M22"/>
  </sortState>
  <mergeCells count="1">
    <mergeCell ref="C1:O3"/>
  </mergeCells>
  <conditionalFormatting sqref="O5:O22">
    <cfRule type="cellIs" dxfId="2" priority="3" stopIfTrue="1" operator="greaterThanOrEqual">
      <formula>90</formula>
    </cfRule>
  </conditionalFormatting>
  <conditionalFormatting sqref="O5:O22">
    <cfRule type="cellIs" dxfId="1" priority="2" operator="lessThanOrEqual">
      <formula>30</formula>
    </cfRule>
  </conditionalFormatting>
  <conditionalFormatting sqref="O5:O22">
    <cfRule type="cellIs" dxfId="0" priority="1" operator="between">
      <formula>31</formula>
      <formula>89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2EE1-9337-44F1-A454-DB8A2BB2A1F6}">
  <dimension ref="B1:N23"/>
  <sheetViews>
    <sheetView showGridLines="0" showRowColHeaders="0" tabSelected="1" workbookViewId="0">
      <selection activeCell="Q8" sqref="Q8"/>
    </sheetView>
  </sheetViews>
  <sheetFormatPr defaultRowHeight="15"/>
  <cols>
    <col min="3" max="3" width="10.28515625" bestFit="1" customWidth="1"/>
    <col min="4" max="4" width="14.5703125" bestFit="1" customWidth="1"/>
    <col min="5" max="5" width="13.28515625" bestFit="1" customWidth="1"/>
    <col min="6" max="6" width="13.28515625" customWidth="1"/>
    <col min="7" max="7" width="14.28515625" customWidth="1"/>
    <col min="8" max="8" width="22.140625" bestFit="1" customWidth="1"/>
    <col min="9" max="9" width="27.5703125" bestFit="1" customWidth="1"/>
    <col min="10" max="10" width="20" bestFit="1" customWidth="1"/>
    <col min="11" max="11" width="12.140625" bestFit="1" customWidth="1"/>
    <col min="12" max="12" width="11" bestFit="1" customWidth="1"/>
    <col min="13" max="13" width="12.140625" bestFit="1" customWidth="1"/>
    <col min="14" max="14" width="22.28515625" bestFit="1" customWidth="1"/>
  </cols>
  <sheetData>
    <row r="1" spans="2:14">
      <c r="B1" s="48" t="s">
        <v>135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2:14"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2:14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2:14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2:14">
      <c r="B5" s="5" t="s">
        <v>136</v>
      </c>
      <c r="C5" s="41" t="s">
        <v>137</v>
      </c>
      <c r="D5" s="17" t="s">
        <v>2</v>
      </c>
      <c r="E5" s="6" t="s">
        <v>5</v>
      </c>
      <c r="F5" s="6" t="s">
        <v>138</v>
      </c>
      <c r="G5" s="6" t="s">
        <v>10</v>
      </c>
      <c r="H5" s="6" t="s">
        <v>139</v>
      </c>
      <c r="I5" s="17" t="s">
        <v>140</v>
      </c>
      <c r="J5" s="17" t="s">
        <v>141</v>
      </c>
      <c r="K5" s="17" t="s">
        <v>142</v>
      </c>
      <c r="L5" s="6" t="s">
        <v>143</v>
      </c>
      <c r="M5" s="6" t="s">
        <v>144</v>
      </c>
      <c r="N5" s="7" t="s">
        <v>145</v>
      </c>
    </row>
    <row r="6" spans="2:14">
      <c r="B6" s="1">
        <v>1</v>
      </c>
      <c r="C6" s="42">
        <v>46032</v>
      </c>
      <c r="D6" s="43" t="s">
        <v>14</v>
      </c>
      <c r="E6" s="43" t="s">
        <v>17</v>
      </c>
      <c r="F6" s="44" t="s">
        <v>21</v>
      </c>
      <c r="G6" s="44" t="s">
        <v>146</v>
      </c>
      <c r="H6" s="1" t="s">
        <v>147</v>
      </c>
      <c r="I6" s="45" t="s">
        <v>148</v>
      </c>
      <c r="J6" s="1" t="s">
        <v>149</v>
      </c>
      <c r="K6" s="40">
        <v>4500</v>
      </c>
      <c r="L6" s="40">
        <v>810</v>
      </c>
      <c r="M6" s="40">
        <v>5310</v>
      </c>
      <c r="N6" s="1" t="s">
        <v>150</v>
      </c>
    </row>
    <row r="7" spans="2:14">
      <c r="B7" s="1">
        <v>2</v>
      </c>
      <c r="C7" s="42">
        <v>46044</v>
      </c>
      <c r="D7" s="43" t="s">
        <v>22</v>
      </c>
      <c r="E7" s="43" t="s">
        <v>25</v>
      </c>
      <c r="F7" s="44" t="s">
        <v>29</v>
      </c>
      <c r="G7" s="44" t="s">
        <v>151</v>
      </c>
      <c r="H7" s="1" t="s">
        <v>152</v>
      </c>
      <c r="I7" s="1" t="s">
        <v>153</v>
      </c>
      <c r="J7" s="1" t="s">
        <v>154</v>
      </c>
      <c r="K7" s="40">
        <v>3200</v>
      </c>
      <c r="L7" s="40">
        <v>576</v>
      </c>
      <c r="M7" s="40">
        <v>3776</v>
      </c>
      <c r="N7" s="1" t="s">
        <v>155</v>
      </c>
    </row>
    <row r="8" spans="2:14" ht="45.75">
      <c r="B8" s="1">
        <v>3</v>
      </c>
      <c r="C8" s="42">
        <v>46058</v>
      </c>
      <c r="D8" s="43" t="s">
        <v>30</v>
      </c>
      <c r="E8" s="43" t="s">
        <v>33</v>
      </c>
      <c r="F8" s="44" t="s">
        <v>37</v>
      </c>
      <c r="G8" s="44" t="s">
        <v>156</v>
      </c>
      <c r="H8" s="1" t="s">
        <v>147</v>
      </c>
      <c r="I8" s="1" t="s">
        <v>157</v>
      </c>
      <c r="J8" s="1" t="s">
        <v>158</v>
      </c>
      <c r="K8" s="40">
        <v>1800</v>
      </c>
      <c r="L8" s="40">
        <v>324</v>
      </c>
      <c r="M8" s="40">
        <v>2124</v>
      </c>
      <c r="N8" s="1" t="s">
        <v>159</v>
      </c>
    </row>
    <row r="9" spans="2:14" ht="30.75">
      <c r="B9" s="1">
        <v>4</v>
      </c>
      <c r="C9" s="42">
        <v>46071</v>
      </c>
      <c r="D9" s="43" t="s">
        <v>38</v>
      </c>
      <c r="E9" s="43" t="s">
        <v>41</v>
      </c>
      <c r="F9" s="44" t="s">
        <v>45</v>
      </c>
      <c r="G9" s="44" t="s">
        <v>160</v>
      </c>
      <c r="H9" s="1" t="s">
        <v>161</v>
      </c>
      <c r="I9" s="45" t="s">
        <v>162</v>
      </c>
      <c r="J9" s="1" t="s">
        <v>163</v>
      </c>
      <c r="K9" s="40">
        <v>12000</v>
      </c>
      <c r="L9" s="40">
        <v>2160</v>
      </c>
      <c r="M9" s="40">
        <v>14160</v>
      </c>
      <c r="N9" s="1" t="s">
        <v>164</v>
      </c>
    </row>
    <row r="10" spans="2:14">
      <c r="B10" s="1">
        <v>5</v>
      </c>
      <c r="C10" s="42">
        <v>46084</v>
      </c>
      <c r="D10" s="43" t="s">
        <v>46</v>
      </c>
      <c r="E10" s="43" t="s">
        <v>49</v>
      </c>
      <c r="F10" s="44" t="s">
        <v>52</v>
      </c>
      <c r="G10" s="44" t="s">
        <v>151</v>
      </c>
      <c r="H10" s="1" t="s">
        <v>152</v>
      </c>
      <c r="I10" s="47" t="s">
        <v>165</v>
      </c>
      <c r="J10" s="1" t="s">
        <v>166</v>
      </c>
      <c r="K10" s="40">
        <v>20000</v>
      </c>
      <c r="L10" s="40">
        <v>3600</v>
      </c>
      <c r="M10" s="40">
        <v>23600</v>
      </c>
      <c r="N10" s="1" t="s">
        <v>167</v>
      </c>
    </row>
    <row r="11" spans="2:14">
      <c r="B11" s="1">
        <v>6</v>
      </c>
      <c r="C11" s="42">
        <v>46100</v>
      </c>
      <c r="D11" s="43" t="s">
        <v>53</v>
      </c>
      <c r="E11" s="43" t="s">
        <v>56</v>
      </c>
      <c r="F11" s="44" t="s">
        <v>59</v>
      </c>
      <c r="G11" s="44" t="s">
        <v>58</v>
      </c>
      <c r="H11" s="1" t="s">
        <v>152</v>
      </c>
      <c r="I11" s="1" t="s">
        <v>168</v>
      </c>
      <c r="J11" s="1" t="s">
        <v>169</v>
      </c>
      <c r="K11" s="40">
        <v>8500</v>
      </c>
      <c r="L11" s="40">
        <v>1530</v>
      </c>
      <c r="M11" s="40">
        <v>10030</v>
      </c>
      <c r="N11" s="1" t="s">
        <v>170</v>
      </c>
    </row>
    <row r="12" spans="2:14">
      <c r="B12" s="1">
        <v>7</v>
      </c>
      <c r="C12" s="42">
        <v>46114</v>
      </c>
      <c r="D12" s="43" t="s">
        <v>60</v>
      </c>
      <c r="E12" s="43" t="s">
        <v>63</v>
      </c>
      <c r="F12" s="44" t="s">
        <v>66</v>
      </c>
      <c r="G12" s="44" t="s">
        <v>58</v>
      </c>
      <c r="H12" s="1" t="s">
        <v>152</v>
      </c>
      <c r="I12" s="1" t="s">
        <v>171</v>
      </c>
      <c r="J12" s="1" t="s">
        <v>172</v>
      </c>
      <c r="K12" s="40">
        <v>9500</v>
      </c>
      <c r="L12" s="40">
        <v>1710</v>
      </c>
      <c r="M12" s="40">
        <v>11210</v>
      </c>
      <c r="N12" s="1" t="s">
        <v>173</v>
      </c>
    </row>
    <row r="13" spans="2:14">
      <c r="B13" s="1">
        <v>8</v>
      </c>
      <c r="C13" s="42">
        <v>46127</v>
      </c>
      <c r="D13" s="43" t="s">
        <v>67</v>
      </c>
      <c r="E13" s="43" t="s">
        <v>70</v>
      </c>
      <c r="F13" s="44" t="s">
        <v>73</v>
      </c>
      <c r="G13" s="44" t="s">
        <v>72</v>
      </c>
      <c r="H13" s="1" t="s">
        <v>147</v>
      </c>
      <c r="I13" s="46" t="s">
        <v>174</v>
      </c>
      <c r="J13" s="1" t="s">
        <v>175</v>
      </c>
      <c r="K13" s="40">
        <v>15000</v>
      </c>
      <c r="L13" s="40">
        <v>2700</v>
      </c>
      <c r="M13" s="40">
        <v>17700</v>
      </c>
      <c r="N13" s="1" t="s">
        <v>176</v>
      </c>
    </row>
    <row r="14" spans="2:14" ht="30.75">
      <c r="B14" s="1">
        <v>9</v>
      </c>
      <c r="C14" s="42">
        <v>46148</v>
      </c>
      <c r="D14" s="43" t="s">
        <v>74</v>
      </c>
      <c r="E14" s="43" t="s">
        <v>77</v>
      </c>
      <c r="F14" s="44" t="s">
        <v>80</v>
      </c>
      <c r="G14" s="44" t="s">
        <v>79</v>
      </c>
      <c r="H14" s="1" t="s">
        <v>147</v>
      </c>
      <c r="I14" s="1" t="s">
        <v>177</v>
      </c>
      <c r="J14" s="1" t="s">
        <v>178</v>
      </c>
      <c r="K14" s="40">
        <v>22000</v>
      </c>
      <c r="L14" s="40">
        <v>3960</v>
      </c>
      <c r="M14" s="40">
        <v>25960</v>
      </c>
      <c r="N14" s="1" t="s">
        <v>179</v>
      </c>
    </row>
    <row r="15" spans="2:14">
      <c r="B15" s="1">
        <v>10</v>
      </c>
      <c r="C15" s="42">
        <v>46162</v>
      </c>
      <c r="D15" s="43" t="s">
        <v>81</v>
      </c>
      <c r="E15" s="43" t="s">
        <v>49</v>
      </c>
      <c r="F15" s="44" t="s">
        <v>87</v>
      </c>
      <c r="G15" s="44" t="s">
        <v>85</v>
      </c>
      <c r="H15" s="1" t="s">
        <v>152</v>
      </c>
      <c r="I15" s="1" t="s">
        <v>180</v>
      </c>
      <c r="J15" s="1" t="s">
        <v>181</v>
      </c>
      <c r="K15" s="40">
        <v>6000</v>
      </c>
      <c r="L15" s="40">
        <v>1080</v>
      </c>
      <c r="M15" s="40">
        <v>7080</v>
      </c>
      <c r="N15" s="1" t="s">
        <v>182</v>
      </c>
    </row>
    <row r="16" spans="2:14">
      <c r="B16" s="1">
        <v>11</v>
      </c>
      <c r="C16" s="42">
        <v>46177</v>
      </c>
      <c r="D16" s="43" t="s">
        <v>88</v>
      </c>
      <c r="E16" s="43" t="s">
        <v>91</v>
      </c>
      <c r="F16" s="44" t="s">
        <v>92</v>
      </c>
      <c r="G16" s="44" t="s">
        <v>85</v>
      </c>
      <c r="H16" s="1" t="s">
        <v>161</v>
      </c>
      <c r="I16" s="45" t="s">
        <v>183</v>
      </c>
      <c r="J16" s="1" t="s">
        <v>184</v>
      </c>
      <c r="K16" s="40">
        <v>45000</v>
      </c>
      <c r="L16" s="40">
        <v>8100</v>
      </c>
      <c r="M16" s="40">
        <v>53100</v>
      </c>
      <c r="N16" s="1" t="s">
        <v>185</v>
      </c>
    </row>
    <row r="17" spans="2:14" ht="30.75">
      <c r="B17" s="1">
        <v>12</v>
      </c>
      <c r="C17" s="42">
        <v>46191</v>
      </c>
      <c r="D17" s="43" t="s">
        <v>93</v>
      </c>
      <c r="E17" s="43" t="s">
        <v>96</v>
      </c>
      <c r="F17" s="44" t="s">
        <v>99</v>
      </c>
      <c r="G17" s="44" t="s">
        <v>97</v>
      </c>
      <c r="H17" s="1" t="s">
        <v>152</v>
      </c>
      <c r="I17" s="1" t="s">
        <v>186</v>
      </c>
      <c r="J17" s="1" t="s">
        <v>187</v>
      </c>
      <c r="K17" s="40">
        <v>18000</v>
      </c>
      <c r="L17" s="40">
        <v>3240</v>
      </c>
      <c r="M17" s="40">
        <v>21240</v>
      </c>
      <c r="N17" s="1" t="s">
        <v>188</v>
      </c>
    </row>
    <row r="18" spans="2:14">
      <c r="B18" s="1">
        <v>13</v>
      </c>
      <c r="C18" s="42">
        <v>46210</v>
      </c>
      <c r="D18" s="43" t="s">
        <v>100</v>
      </c>
      <c r="E18" s="43" t="s">
        <v>189</v>
      </c>
      <c r="F18" s="44" t="s">
        <v>106</v>
      </c>
      <c r="G18" s="44" t="s">
        <v>105</v>
      </c>
      <c r="H18" s="1" t="s">
        <v>147</v>
      </c>
      <c r="I18" s="1" t="s">
        <v>190</v>
      </c>
      <c r="J18" s="1" t="s">
        <v>191</v>
      </c>
      <c r="K18" s="40">
        <v>12000</v>
      </c>
      <c r="L18" s="40">
        <v>2160</v>
      </c>
      <c r="M18" s="40">
        <v>14160</v>
      </c>
      <c r="N18" s="1" t="s">
        <v>192</v>
      </c>
    </row>
    <row r="19" spans="2:14">
      <c r="B19" s="1">
        <v>14</v>
      </c>
      <c r="C19" s="42">
        <v>46224</v>
      </c>
      <c r="D19" s="43" t="s">
        <v>107</v>
      </c>
      <c r="E19" s="43" t="s">
        <v>17</v>
      </c>
      <c r="F19" s="44" t="s">
        <v>111</v>
      </c>
      <c r="G19" s="44" t="s">
        <v>151</v>
      </c>
      <c r="H19" s="1" t="s">
        <v>152</v>
      </c>
      <c r="I19" s="1" t="s">
        <v>193</v>
      </c>
      <c r="J19" s="1" t="s">
        <v>194</v>
      </c>
      <c r="K19" s="40">
        <v>7000</v>
      </c>
      <c r="L19" s="40">
        <v>1260</v>
      </c>
      <c r="M19" s="40">
        <v>8260</v>
      </c>
      <c r="N19" s="1" t="s">
        <v>195</v>
      </c>
    </row>
    <row r="20" spans="2:14">
      <c r="B20" s="1">
        <v>15</v>
      </c>
      <c r="C20" s="42">
        <v>46239</v>
      </c>
      <c r="D20" s="43" t="s">
        <v>112</v>
      </c>
      <c r="E20" s="43" t="s">
        <v>25</v>
      </c>
      <c r="F20" s="44" t="s">
        <v>116</v>
      </c>
      <c r="G20" s="44" t="s">
        <v>151</v>
      </c>
      <c r="H20" s="1" t="s">
        <v>147</v>
      </c>
      <c r="I20" s="1" t="s">
        <v>196</v>
      </c>
      <c r="J20" s="1" t="s">
        <v>197</v>
      </c>
      <c r="K20" s="40">
        <v>1500</v>
      </c>
      <c r="L20" s="40">
        <v>270</v>
      </c>
      <c r="M20" s="40">
        <v>1770</v>
      </c>
      <c r="N20" s="1" t="s">
        <v>198</v>
      </c>
    </row>
    <row r="21" spans="2:14" ht="30.75">
      <c r="B21" s="1">
        <v>16</v>
      </c>
      <c r="C21" s="42">
        <v>46253</v>
      </c>
      <c r="D21" s="43" t="s">
        <v>117</v>
      </c>
      <c r="E21" s="43" t="s">
        <v>17</v>
      </c>
      <c r="F21" s="44" t="s">
        <v>122</v>
      </c>
      <c r="G21" s="44" t="s">
        <v>121</v>
      </c>
      <c r="H21" s="1" t="s">
        <v>147</v>
      </c>
      <c r="I21" s="1" t="s">
        <v>199</v>
      </c>
      <c r="J21" s="1" t="s">
        <v>200</v>
      </c>
      <c r="K21" s="40">
        <v>5000</v>
      </c>
      <c r="L21" s="40">
        <v>900</v>
      </c>
      <c r="M21" s="40">
        <v>5900</v>
      </c>
      <c r="N21" s="1" t="s">
        <v>201</v>
      </c>
    </row>
    <row r="22" spans="2:14">
      <c r="B22" s="1">
        <v>17</v>
      </c>
      <c r="C22" s="42">
        <v>46268</v>
      </c>
      <c r="D22" s="43" t="s">
        <v>123</v>
      </c>
      <c r="E22" s="43" t="s">
        <v>202</v>
      </c>
      <c r="F22" s="44" t="s">
        <v>128</v>
      </c>
      <c r="G22" s="44" t="s">
        <v>121</v>
      </c>
      <c r="H22" s="1" t="s">
        <v>161</v>
      </c>
      <c r="I22" s="45" t="s">
        <v>203</v>
      </c>
      <c r="J22" s="1" t="s">
        <v>204</v>
      </c>
      <c r="K22" s="40">
        <v>25000</v>
      </c>
      <c r="L22" s="40">
        <v>4500</v>
      </c>
      <c r="M22" s="40">
        <v>29500</v>
      </c>
      <c r="N22" s="1" t="s">
        <v>205</v>
      </c>
    </row>
    <row r="23" spans="2:14" ht="30.75">
      <c r="B23" s="1">
        <v>18</v>
      </c>
      <c r="C23" s="42">
        <v>46282</v>
      </c>
      <c r="D23" s="43" t="s">
        <v>129</v>
      </c>
      <c r="E23" s="43" t="s">
        <v>49</v>
      </c>
      <c r="F23" s="44" t="s">
        <v>134</v>
      </c>
      <c r="G23" s="44" t="s">
        <v>133</v>
      </c>
      <c r="H23" s="1" t="s">
        <v>152</v>
      </c>
      <c r="I23" s="1" t="s">
        <v>206</v>
      </c>
      <c r="J23" s="1" t="s">
        <v>207</v>
      </c>
      <c r="K23" s="40">
        <v>11000</v>
      </c>
      <c r="L23" s="40">
        <v>1980</v>
      </c>
      <c r="M23" s="40">
        <v>12980</v>
      </c>
      <c r="N23" s="1" t="s">
        <v>208</v>
      </c>
    </row>
  </sheetData>
  <mergeCells count="1">
    <mergeCell ref="B1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2026-04-28T15:51:55Z</dcterms:created>
  <dcterms:modified xsi:type="dcterms:W3CDTF">2026-04-29T02:05:24Z</dcterms:modified>
  <cp:category/>
  <cp:contentStatus/>
</cp:coreProperties>
</file>